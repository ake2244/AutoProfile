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ina\Desktop\Привет Андрей\Макросы\Авто профиль\"/>
    </mc:Choice>
  </mc:AlternateContent>
  <bookViews>
    <workbookView xWindow="0" yWindow="0" windowWidth="17496" windowHeight="7332" tabRatio="798"/>
  </bookViews>
  <sheets>
    <sheet name="1. Углы и тангенсы" sheetId="1" r:id="rId1"/>
    <sheet name="Лист разработчика" sheetId="3" r:id="rId2"/>
    <sheet name="Справка" sheetId="6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E9" i="1" s="1"/>
  <c r="D9" i="1"/>
  <c r="I9" i="1"/>
  <c r="J9" i="1"/>
  <c r="K9" i="1" s="1"/>
  <c r="M9" i="1" s="1"/>
  <c r="X9" i="1"/>
  <c r="AD9" i="1" s="1"/>
  <c r="Y9" i="1"/>
  <c r="Z9" i="1"/>
  <c r="D14" i="1" s="1"/>
  <c r="C10" i="1"/>
  <c r="G9" i="1" s="1"/>
  <c r="D10" i="1"/>
  <c r="G10" i="1"/>
  <c r="I10" i="1"/>
  <c r="J10" i="1" s="1"/>
  <c r="X10" i="1"/>
  <c r="Z10" i="1" s="1"/>
  <c r="D15" i="1" s="1"/>
  <c r="Y10" i="1"/>
  <c r="I15" i="1" s="1"/>
  <c r="AA10" i="1"/>
  <c r="C15" i="1" s="1"/>
  <c r="AD10" i="1"/>
  <c r="C11" i="1"/>
  <c r="D11" i="1"/>
  <c r="F11" i="1"/>
  <c r="I11" i="1"/>
  <c r="X11" i="1"/>
  <c r="AA11" i="1" s="1"/>
  <c r="C16" i="1" s="1"/>
  <c r="Y11" i="1"/>
  <c r="C12" i="1"/>
  <c r="E11" i="1" s="1"/>
  <c r="D12" i="1"/>
  <c r="I12" i="1"/>
  <c r="X12" i="1"/>
  <c r="Y12" i="1"/>
  <c r="Z12" i="1" s="1"/>
  <c r="D17" i="1" s="1"/>
  <c r="AA12" i="1"/>
  <c r="C17" i="1" s="1"/>
  <c r="AD12" i="1"/>
  <c r="C13" i="1"/>
  <c r="D13" i="1"/>
  <c r="E12" i="1" s="1"/>
  <c r="I13" i="1"/>
  <c r="X13" i="1"/>
  <c r="AD13" i="1" s="1"/>
  <c r="Y13" i="1"/>
  <c r="Z13" i="1"/>
  <c r="I14" i="1"/>
  <c r="X14" i="1"/>
  <c r="Z14" i="1" s="1"/>
  <c r="Y14" i="1"/>
  <c r="AA14" i="1"/>
  <c r="AD14" i="1"/>
  <c r="X15" i="1"/>
  <c r="AA15" i="1" s="1"/>
  <c r="Y15" i="1"/>
  <c r="I16" i="1"/>
  <c r="X16" i="1"/>
  <c r="Y16" i="1"/>
  <c r="Z16" i="1" s="1"/>
  <c r="AA16" i="1"/>
  <c r="AD16" i="1"/>
  <c r="X17" i="1"/>
  <c r="AD17" i="1" s="1"/>
  <c r="Y17" i="1"/>
  <c r="Z17" i="1"/>
  <c r="AB17" i="1"/>
  <c r="AB16" i="1"/>
  <c r="AB12" i="1" l="1"/>
  <c r="J12" i="1"/>
  <c r="E17" i="1"/>
  <c r="F17" i="1"/>
  <c r="H17" i="1"/>
  <c r="K10" i="1"/>
  <c r="M10" i="1" s="1"/>
  <c r="J11" i="1"/>
  <c r="K11" i="1" s="1"/>
  <c r="M11" i="1" s="1"/>
  <c r="AB9" i="1"/>
  <c r="E13" i="1"/>
  <c r="Z15" i="1"/>
  <c r="G12" i="1"/>
  <c r="Z11" i="1"/>
  <c r="D16" i="1" s="1"/>
  <c r="AB11" i="1" s="1"/>
  <c r="H11" i="1"/>
  <c r="E10" i="1"/>
  <c r="L10" i="1" s="1"/>
  <c r="F9" i="1"/>
  <c r="L9" i="1" s="1"/>
  <c r="AA17" i="1"/>
  <c r="I17" i="1"/>
  <c r="AD15" i="1"/>
  <c r="AA13" i="1"/>
  <c r="F12" i="1"/>
  <c r="L12" i="1" s="1"/>
  <c r="AD11" i="1"/>
  <c r="G11" i="1"/>
  <c r="L11" i="1" s="1"/>
  <c r="H10" i="1"/>
  <c r="AA9" i="1"/>
  <c r="C14" i="1" s="1"/>
  <c r="H9" i="1"/>
  <c r="H12" i="1"/>
  <c r="F10" i="1"/>
  <c r="X2" i="1"/>
  <c r="AD2" i="1" s="1"/>
  <c r="X3" i="1"/>
  <c r="AD3" i="1" s="1"/>
  <c r="F15" i="1" l="1"/>
  <c r="AB10" i="1"/>
  <c r="H16" i="1"/>
  <c r="E15" i="1"/>
  <c r="E16" i="1"/>
  <c r="K12" i="1"/>
  <c r="M12" i="1" s="1"/>
  <c r="J13" i="1"/>
  <c r="G13" i="1"/>
  <c r="F14" i="1"/>
  <c r="H13" i="1"/>
  <c r="G14" i="1"/>
  <c r="H14" i="1"/>
  <c r="F13" i="1"/>
  <c r="L13" i="1" s="1"/>
  <c r="E14" i="1"/>
  <c r="L14" i="1" s="1"/>
  <c r="AB15" i="1"/>
  <c r="H15" i="1"/>
  <c r="G16" i="1"/>
  <c r="AB14" i="1"/>
  <c r="G15" i="1"/>
  <c r="AB13" i="1"/>
  <c r="G17" i="1"/>
  <c r="L17" i="1" s="1"/>
  <c r="F16" i="1"/>
  <c r="Y2" i="1"/>
  <c r="L16" i="1" l="1"/>
  <c r="L15" i="1"/>
  <c r="K13" i="1"/>
  <c r="M13" i="1" s="1"/>
  <c r="J14" i="1"/>
  <c r="Y3" i="1"/>
  <c r="Y4" i="1"/>
  <c r="Y5" i="1"/>
  <c r="Y6" i="1"/>
  <c r="Y7" i="1"/>
  <c r="Y8" i="1"/>
  <c r="K7" i="1"/>
  <c r="M7" i="1" s="1"/>
  <c r="K14" i="1" l="1"/>
  <c r="M14" i="1" s="1"/>
  <c r="J15" i="1"/>
  <c r="Z3" i="1"/>
  <c r="X4" i="1"/>
  <c r="AD4" i="1" s="1"/>
  <c r="X5" i="1"/>
  <c r="AD5" i="1" s="1"/>
  <c r="X6" i="1"/>
  <c r="AD6" i="1" s="1"/>
  <c r="X7" i="1"/>
  <c r="AD7" i="1" s="1"/>
  <c r="X8" i="1"/>
  <c r="AD8" i="1" s="1"/>
  <c r="I7" i="1"/>
  <c r="K15" i="1" l="1"/>
  <c r="M15" i="1" s="1"/>
  <c r="J16" i="1"/>
  <c r="Z8" i="1"/>
  <c r="Z7" i="1"/>
  <c r="Z2" i="1"/>
  <c r="Z6" i="1"/>
  <c r="Z4" i="1"/>
  <c r="Z5" i="1"/>
  <c r="AA8" i="1"/>
  <c r="AA7" i="1"/>
  <c r="AA6" i="1"/>
  <c r="AA5" i="1"/>
  <c r="AA4" i="1"/>
  <c r="AA3" i="1"/>
  <c r="C8" i="1" s="1"/>
  <c r="I8" i="1"/>
  <c r="J8" i="1" s="1"/>
  <c r="AA2" i="1"/>
  <c r="C7" i="1" s="1"/>
  <c r="K16" i="1" l="1"/>
  <c r="M16" i="1" s="1"/>
  <c r="J17" i="1"/>
  <c r="AB6" i="1"/>
  <c r="AB8" i="1"/>
  <c r="AB4" i="1"/>
  <c r="AB7" i="1"/>
  <c r="K8" i="1"/>
  <c r="M8" i="1" s="1"/>
  <c r="D8" i="1"/>
  <c r="AB3" i="1" s="1"/>
  <c r="D7" i="1"/>
  <c r="K17" i="1" l="1"/>
  <c r="M17" i="1" s="1"/>
  <c r="AB5" i="1"/>
  <c r="AB2" i="1"/>
  <c r="H7" i="1"/>
  <c r="F7" i="1"/>
  <c r="G7" i="1"/>
  <c r="E7" i="1"/>
  <c r="L7" i="1" l="1"/>
  <c r="H8" i="1" l="1"/>
  <c r="E8" i="1"/>
  <c r="G8" i="1"/>
  <c r="F8" i="1"/>
  <c r="L8" i="1" l="1"/>
</calcChain>
</file>

<file path=xl/sharedStrings.xml><?xml version="1.0" encoding="utf-8"?>
<sst xmlns="http://schemas.openxmlformats.org/spreadsheetml/2006/main" count="59" uniqueCount="41">
  <si>
    <t>Нач. отм</t>
  </si>
  <si>
    <t>Расстановка знаков</t>
  </si>
  <si>
    <t>Уклон</t>
  </si>
  <si>
    <t>Знак</t>
  </si>
  <si>
    <t>Результат</t>
  </si>
  <si>
    <t>Вершина</t>
  </si>
  <si>
    <t>Расчет</t>
  </si>
  <si>
    <t>Первую строку не удалять</t>
  </si>
  <si>
    <t>Высота блока 15</t>
  </si>
  <si>
    <t>Условие для извлечения</t>
  </si>
  <si>
    <t>ЕСЛИ(C86=15; "-"; "+")</t>
  </si>
  <si>
    <t>Ctrl+C, Ctrl+V</t>
  </si>
  <si>
    <t>Расстояние</t>
  </si>
  <si>
    <t>Пикет</t>
  </si>
  <si>
    <t>Пикет+</t>
  </si>
  <si>
    <t>Данные</t>
  </si>
  <si>
    <t>\</t>
  </si>
  <si>
    <t>+</t>
  </si>
  <si>
    <t>/</t>
  </si>
  <si>
    <t>-</t>
  </si>
  <si>
    <t>0 - любой знак</t>
  </si>
  <si>
    <t>Угол</t>
  </si>
  <si>
    <t>Данные для отчета</t>
  </si>
  <si>
    <t>Уклоны в %</t>
  </si>
  <si>
    <t>Заменить лисп</t>
  </si>
  <si>
    <t>Для определенимя расстояний в масштабе 100, 500</t>
  </si>
  <si>
    <t>100/500</t>
  </si>
  <si>
    <t xml:space="preserve">для уклонов </t>
  </si>
  <si>
    <t>Результат (R=150)</t>
  </si>
  <si>
    <t>Т (R =</t>
  </si>
  <si>
    <t>Для определенимя высот и расстояний в масштабе 100, 2000</t>
  </si>
  <si>
    <t>для отметок</t>
  </si>
  <si>
    <t>100/2000</t>
  </si>
  <si>
    <t>K</t>
  </si>
  <si>
    <t>Б</t>
  </si>
  <si>
    <t>м высота</t>
  </si>
  <si>
    <t>м длина</t>
  </si>
  <si>
    <t>Направление</t>
  </si>
  <si>
    <t>Масштаб:</t>
  </si>
  <si>
    <t>Начальная отметка</t>
  </si>
  <si>
    <t>Отметка точки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</si>
</sst>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2"/>
      <name val="GOST 2.304 type A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46">
    <xf numFmtId="0" fontId="0" fillId="0" borderId="0" xfId="0"/>
    <xf numFmtId="0" fontId="1" fillId="2" borderId="1" xfId="1" applyBorder="1"/>
    <xf numFmtId="49" fontId="1" fillId="2" borderId="1" xfId="1" applyNumberFormat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/>
    <xf numFmtId="0" fontId="5" fillId="2" borderId="9" xfId="1" applyFont="1" applyBorder="1"/>
    <xf numFmtId="0" fontId="5" fillId="2" borderId="4" xfId="1" applyFont="1" applyBorder="1"/>
    <xf numFmtId="0" fontId="4" fillId="0" borderId="0" xfId="0" applyFont="1" applyAlignment="1">
      <alignment vertical="top"/>
    </xf>
    <xf numFmtId="0" fontId="4" fillId="0" borderId="21" xfId="0" applyFont="1" applyBorder="1" applyAlignment="1">
      <alignment horizontal="center" vertical="center"/>
    </xf>
    <xf numFmtId="0" fontId="5" fillId="2" borderId="9" xfId="1" applyFont="1" applyBorder="1" applyAlignment="1">
      <alignment vertical="top"/>
    </xf>
    <xf numFmtId="0" fontId="5" fillId="2" borderId="10" xfId="1" applyFont="1" applyBorder="1" applyAlignment="1">
      <alignment vertical="top"/>
    </xf>
    <xf numFmtId="0" fontId="5" fillId="2" borderId="2" xfId="1" applyFont="1" applyBorder="1" applyAlignment="1">
      <alignment horizontal="center" vertical="center"/>
    </xf>
    <xf numFmtId="0" fontId="5" fillId="2" borderId="4" xfId="1" applyFont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4" fillId="3" borderId="10" xfId="2" applyFont="1" applyBorder="1" applyAlignment="1">
      <alignment horizontal="center" vertical="center"/>
    </xf>
    <xf numFmtId="0" fontId="5" fillId="2" borderId="4" xfId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quotePrefix="1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4" borderId="7" xfId="2" quotePrefix="1" applyNumberFormat="1" applyFont="1" applyFill="1" applyBorder="1" applyAlignment="1">
      <alignment horizontal="center" vertical="center"/>
    </xf>
    <xf numFmtId="0" fontId="4" fillId="4" borderId="18" xfId="2" applyFont="1" applyFill="1" applyBorder="1" applyAlignment="1">
      <alignment horizontal="center" vertical="center"/>
    </xf>
    <xf numFmtId="0" fontId="6" fillId="0" borderId="7" xfId="0" applyNumberFormat="1" applyFont="1" applyBorder="1" applyAlignment="1">
      <alignment horizontal="left" vertical="center"/>
    </xf>
    <xf numFmtId="0" fontId="4" fillId="0" borderId="18" xfId="0" applyFont="1" applyBorder="1"/>
    <xf numFmtId="0" fontId="4" fillId="0" borderId="20" xfId="0" quotePrefix="1" applyNumberFormat="1" applyFont="1" applyBorder="1" applyAlignment="1">
      <alignment horizontal="center" vertical="center"/>
    </xf>
    <xf numFmtId="0" fontId="4" fillId="0" borderId="19" xfId="0" applyFont="1" applyBorder="1"/>
    <xf numFmtId="0" fontId="7" fillId="0" borderId="0" xfId="0" applyFont="1" applyAlignment="1">
      <alignment horizontal="center" vertical="center"/>
    </xf>
    <xf numFmtId="2" fontId="1" fillId="2" borderId="18" xfId="1" applyNumberForma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4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1" fillId="2" borderId="1" xfId="1" applyBorder="1" applyAlignment="1">
      <alignment horizontal="center" wrapText="1"/>
    </xf>
    <xf numFmtId="0" fontId="1" fillId="2" borderId="0" xfId="1" applyAlignment="1">
      <alignment horizontal="center"/>
    </xf>
    <xf numFmtId="0" fontId="1" fillId="2" borderId="1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8" xfId="1" applyBorder="1" applyAlignment="1">
      <alignment horizontal="center"/>
    </xf>
    <xf numFmtId="0" fontId="1" fillId="2" borderId="11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  <xf numFmtId="0" fontId="1" fillId="2" borderId="13" xfId="1" applyBorder="1" applyAlignment="1">
      <alignment horizontal="center" vertical="center" wrapText="1"/>
    </xf>
    <xf numFmtId="0" fontId="1" fillId="2" borderId="14" xfId="1" applyBorder="1" applyAlignment="1">
      <alignment horizontal="center" vertical="center" wrapText="1"/>
    </xf>
    <xf numFmtId="0" fontId="1" fillId="2" borderId="15" xfId="1" applyBorder="1" applyAlignment="1">
      <alignment horizontal="center" vertical="center" wrapText="1"/>
    </xf>
    <xf numFmtId="0" fontId="1" fillId="2" borderId="16" xfId="1" applyBorder="1" applyAlignment="1">
      <alignment horizontal="center" vertical="center" wrapText="1"/>
    </xf>
    <xf numFmtId="0" fontId="1" fillId="2" borderId="1" xfId="1" applyBorder="1" applyAlignment="1">
      <alignment horizontal="left"/>
    </xf>
  </cellXfs>
  <cellStyles count="3">
    <cellStyle name="40% — акцент2" xfId="2" builtinId="35"/>
    <cellStyle name="Обычный" xfId="0" builtinId="0"/>
    <cellStyle name="Хороший" xfId="1" builtinId="26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106680</xdr:colOff>
          <xdr:row>1</xdr:row>
          <xdr:rowOff>0</xdr:rowOff>
        </xdr:from>
        <xdr:to>
          <xdr:col>17</xdr:col>
          <xdr:colOff>76200</xdr:colOff>
          <xdr:row>2</xdr:row>
          <xdr:rowOff>121920</xdr:rowOff>
        </xdr:to>
        <xdr:sp macro="" textlink="">
          <xdr:nvSpPr>
            <xdr:cNvPr id="7176" name="Кнопка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Сделать таблицу уклонов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571499</xdr:colOff>
      <xdr:row>20</xdr:row>
      <xdr:rowOff>0</xdr:rowOff>
    </xdr:from>
    <xdr:to>
      <xdr:col>13</xdr:col>
      <xdr:colOff>476249</xdr:colOff>
      <xdr:row>49</xdr:row>
      <xdr:rowOff>54094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9" y="3810000"/>
          <a:ext cx="10220325" cy="55785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2074"/>
  <sheetViews>
    <sheetView tabSelected="1" zoomScaleNormal="100" workbookViewId="0">
      <selection activeCell="J6" sqref="J6"/>
    </sheetView>
  </sheetViews>
  <sheetFormatPr defaultColWidth="9.109375" defaultRowHeight="14.4"/>
  <cols>
    <col min="1" max="1" width="2.33203125" style="3" customWidth="1"/>
    <col min="2" max="2" width="9.33203125" style="3" customWidth="1"/>
    <col min="3" max="3" width="5.109375" style="3" bestFit="1" customWidth="1"/>
    <col min="4" max="4" width="8.109375" style="3" customWidth="1"/>
    <col min="5" max="5" width="11.33203125" style="3" customWidth="1"/>
    <col min="6" max="6" width="8.33203125" style="3" customWidth="1"/>
    <col min="7" max="7" width="7.5546875" style="3" customWidth="1"/>
    <col min="8" max="8" width="5" style="3" bestFit="1" customWidth="1"/>
    <col min="9" max="9" width="11.33203125" style="3" bestFit="1" customWidth="1"/>
    <col min="10" max="10" width="8" style="3" bestFit="1" customWidth="1"/>
    <col min="11" max="11" width="8.88671875" style="3" customWidth="1"/>
    <col min="12" max="12" width="37.88671875" style="3" customWidth="1"/>
    <col min="13" max="13" width="15.109375" style="3" customWidth="1"/>
    <col min="14" max="14" width="3" style="3" customWidth="1"/>
    <col min="15" max="16" width="9.109375" style="3"/>
    <col min="17" max="17" width="8.33203125" style="3" customWidth="1"/>
    <col min="18" max="18" width="3.5546875" style="3" customWidth="1"/>
    <col min="19" max="19" width="1.44140625" style="3" customWidth="1"/>
    <col min="20" max="20" width="18.6640625" style="3" bestFit="1" customWidth="1"/>
    <col min="21" max="21" width="9.5546875" style="3" customWidth="1"/>
    <col min="22" max="22" width="3.33203125" style="3" customWidth="1"/>
    <col min="23" max="23" width="1.33203125" style="3" customWidth="1"/>
    <col min="24" max="24" width="11.5546875" style="3" customWidth="1"/>
    <col min="25" max="27" width="9.109375" style="3" customWidth="1"/>
    <col min="28" max="29" width="9.109375" style="3"/>
    <col min="30" max="30" width="14.44140625" style="3" bestFit="1" customWidth="1"/>
    <col min="31" max="16384" width="9.109375" style="3"/>
  </cols>
  <sheetData>
    <row r="1" spans="1:30" ht="15" thickBot="1">
      <c r="T1" s="4"/>
      <c r="U1" s="4"/>
      <c r="V1" s="4"/>
      <c r="W1" s="4"/>
      <c r="X1" s="4" t="s">
        <v>35</v>
      </c>
      <c r="Y1" s="4" t="s">
        <v>36</v>
      </c>
      <c r="Z1" s="4" t="s">
        <v>2</v>
      </c>
      <c r="AA1" s="4" t="s">
        <v>37</v>
      </c>
      <c r="AB1" s="4"/>
      <c r="AD1" s="3" t="s">
        <v>40</v>
      </c>
    </row>
    <row r="2" spans="1:30" ht="15" thickBot="1">
      <c r="D2" s="5"/>
      <c r="E2" s="5"/>
      <c r="F2" s="4"/>
      <c r="G2" s="4"/>
      <c r="H2" s="4"/>
      <c r="T2" s="6" t="s">
        <v>38</v>
      </c>
      <c r="U2" s="7">
        <v>500</v>
      </c>
      <c r="V2" s="4"/>
      <c r="W2" s="4"/>
      <c r="X2" s="4">
        <f>('Лист разработчика'!B1-'Лист разработчика'!B2)*100*0.001</f>
        <v>-9.3132257461547857E-11</v>
      </c>
      <c r="Y2" s="4">
        <f>IF($U$2=500,('Лист разработчика'!A2-'Лист разработчика'!A1)*0.5,IF($U$2=2000,('Лист разработчика'!A2-'Лист разработчика'!A1)*2,0))</f>
        <v>27.411870757554425</v>
      </c>
      <c r="Z2" s="4">
        <f>(X2/Y2)*100</f>
        <v>-3.3975155612420787E-10</v>
      </c>
      <c r="AA2" s="4" t="str">
        <f>IF(X2&gt;0, "+", IF(X2&lt;0, "-", "0"))</f>
        <v>-</v>
      </c>
      <c r="AB2" s="4" t="str">
        <f>IF(AND((D7-D8)&gt;0,C7="-"),"+",IF(AND((D7-D8)&lt;0,C8="+"),"+","-"))</f>
        <v>-</v>
      </c>
      <c r="AC2" s="3" t="s">
        <v>19</v>
      </c>
      <c r="AD2" s="3">
        <f>$U$4-X2</f>
        <v>21.680000000093131</v>
      </c>
    </row>
    <row r="3" spans="1:30" ht="15" thickBot="1">
      <c r="D3" s="4"/>
      <c r="E3" s="4"/>
      <c r="F3" s="4"/>
      <c r="G3" s="4"/>
      <c r="H3" s="4"/>
      <c r="I3" s="4"/>
      <c r="J3" s="4"/>
      <c r="K3" s="4"/>
      <c r="T3" s="8"/>
      <c r="U3" s="8"/>
      <c r="V3" s="8"/>
      <c r="W3" s="8"/>
      <c r="X3" s="4">
        <f>('Лист разработчика'!B2-'Лист разработчика'!B3)*100*0.001</f>
        <v>-0.78294834559783344</v>
      </c>
      <c r="Y3" s="4">
        <f>IF($U$2=500,('Лист разработчика'!A3-'Лист разработчика'!A2)*0.5,IF($U$2=2000,('Лист разработчика'!A3-'Лист разработчика'!A2)*2,0))</f>
        <v>42.588129242445575</v>
      </c>
      <c r="Z3" s="4">
        <f t="shared" ref="Z3:Z8" si="0">(X3/Y3)*100</f>
        <v>-1.8384192016058454</v>
      </c>
      <c r="AA3" s="4" t="str">
        <f t="shared" ref="AA3:AA8" si="1">IF(X3&gt;0, "+", IF(X3&lt;0, "-", "0"))</f>
        <v>-</v>
      </c>
      <c r="AB3" s="4" t="str">
        <f t="shared" ref="AB3:AB8" si="2">IF(AND((D8-D9)&gt;0,C8="-"),"+",IF(AND((D8-D9)&lt;0,C9="+"),"+","-"))</f>
        <v>+</v>
      </c>
      <c r="AC3" s="3" t="s">
        <v>17</v>
      </c>
      <c r="AD3" s="3">
        <f t="shared" ref="AD3:AD8" si="3">$U$4-X3</f>
        <v>22.462948345597834</v>
      </c>
    </row>
    <row r="4" spans="1:30" ht="15" thickBot="1">
      <c r="G4" s="9"/>
      <c r="H4" s="9"/>
      <c r="O4" s="4"/>
      <c r="P4" s="4"/>
      <c r="Q4" s="4"/>
      <c r="R4" s="4"/>
      <c r="S4" s="4"/>
      <c r="T4" s="10" t="s">
        <v>39</v>
      </c>
      <c r="U4" s="11">
        <v>21.68</v>
      </c>
      <c r="V4" s="8"/>
      <c r="W4" s="8"/>
      <c r="X4" s="4">
        <f>('Лист разработчика'!B3-'Лист разработчика'!B4)*100*0.001</f>
        <v>0.58632978666573765</v>
      </c>
      <c r="Y4" s="4">
        <f>IF($U$2=500,('Лист разработчика'!A4-'Лист разработчика'!A3)*0.5,IF($U$2=2000,('Лист разработчика'!A4-'Лист разработчика'!A3)*2,0))</f>
        <v>90.000000000029104</v>
      </c>
      <c r="Z4" s="4">
        <f t="shared" si="0"/>
        <v>0.65147754073949782</v>
      </c>
      <c r="AA4" s="4" t="str">
        <f t="shared" si="1"/>
        <v>+</v>
      </c>
      <c r="AB4" s="4" t="str">
        <f t="shared" si="2"/>
        <v>-</v>
      </c>
      <c r="AC4" s="3" t="s">
        <v>19</v>
      </c>
      <c r="AD4" s="3">
        <f t="shared" si="3"/>
        <v>21.093670213334264</v>
      </c>
    </row>
    <row r="5" spans="1:30" ht="15" thickBot="1">
      <c r="B5" s="31" t="s">
        <v>15</v>
      </c>
      <c r="C5" s="33"/>
      <c r="D5" s="33"/>
      <c r="E5" s="31" t="s">
        <v>4</v>
      </c>
      <c r="F5" s="32"/>
      <c r="G5" s="12" t="s">
        <v>33</v>
      </c>
      <c r="H5" s="13" t="s">
        <v>34</v>
      </c>
      <c r="I5" s="31" t="s">
        <v>15</v>
      </c>
      <c r="J5" s="32"/>
      <c r="K5" s="14" t="s">
        <v>6</v>
      </c>
      <c r="L5" s="14" t="s">
        <v>28</v>
      </c>
      <c r="M5" s="14"/>
      <c r="O5" s="4"/>
      <c r="P5" s="4"/>
      <c r="Q5" s="4"/>
      <c r="R5" s="4"/>
      <c r="S5" s="4"/>
      <c r="T5" s="4"/>
      <c r="U5" s="4"/>
      <c r="V5" s="4"/>
      <c r="W5" s="4"/>
      <c r="X5" s="4">
        <f>('Лист разработчика'!B4-'Лист разработчика'!B5)*100*0.001</f>
        <v>0</v>
      </c>
      <c r="Y5" s="4">
        <f>IF($U$2=500,('Лист разработчика'!A5-'Лист разработчика'!A4)*0.5,IF($U$2=2000,('Лист разработчика'!A5-'Лист разработчика'!A4)*2,0))</f>
        <v>239.9999999999709</v>
      </c>
      <c r="Z5" s="4">
        <f t="shared" si="0"/>
        <v>0</v>
      </c>
      <c r="AA5" s="4" t="str">
        <f t="shared" si="1"/>
        <v>0</v>
      </c>
      <c r="AB5" s="4" t="str">
        <f t="shared" si="2"/>
        <v>+</v>
      </c>
      <c r="AC5" s="3" t="s">
        <v>19</v>
      </c>
      <c r="AD5" s="3">
        <f t="shared" si="3"/>
        <v>21.68</v>
      </c>
    </row>
    <row r="6" spans="1:30" ht="29.4" thickBot="1">
      <c r="B6" s="14" t="s">
        <v>5</v>
      </c>
      <c r="C6" s="14" t="s">
        <v>3</v>
      </c>
      <c r="D6" s="15" t="s">
        <v>2</v>
      </c>
      <c r="E6" s="14" t="s">
        <v>21</v>
      </c>
      <c r="F6" s="15" t="s">
        <v>29</v>
      </c>
      <c r="G6" s="16">
        <v>300</v>
      </c>
      <c r="H6" s="13"/>
      <c r="I6" s="14" t="s">
        <v>12</v>
      </c>
      <c r="J6" s="13" t="s">
        <v>13</v>
      </c>
      <c r="K6" s="14" t="s">
        <v>14</v>
      </c>
      <c r="L6" s="14" t="s">
        <v>11</v>
      </c>
      <c r="M6" s="17" t="s">
        <v>7</v>
      </c>
      <c r="O6" s="4"/>
      <c r="P6" s="4"/>
      <c r="Q6" s="4"/>
      <c r="R6" s="4"/>
      <c r="S6" s="4"/>
      <c r="T6" s="4"/>
      <c r="U6" s="4"/>
      <c r="V6" s="4"/>
      <c r="W6" s="4"/>
      <c r="X6" s="4">
        <f>('Лист разработчика'!B5-'Лист разработчика'!B6)*100*0.001</f>
        <v>3.3380619254894555</v>
      </c>
      <c r="Y6" s="4">
        <f>IF($U$2=500,('Лист разработчика'!A6-'Лист разработчика'!A5)*0.5,IF($U$2=2000,('Лист разработчика'!A6-'Лист разработчика'!A5)*2,0))</f>
        <v>130</v>
      </c>
      <c r="Z6" s="4">
        <f t="shared" si="0"/>
        <v>2.5677399426841965</v>
      </c>
      <c r="AA6" s="4" t="str">
        <f t="shared" si="1"/>
        <v>+</v>
      </c>
      <c r="AB6" s="4" t="str">
        <f t="shared" si="2"/>
        <v>-</v>
      </c>
      <c r="AC6" s="3" t="s">
        <v>19</v>
      </c>
      <c r="AD6" s="3">
        <f t="shared" si="3"/>
        <v>18.341938074510544</v>
      </c>
    </row>
    <row r="7" spans="1:30" ht="15">
      <c r="B7" s="18">
        <v>1</v>
      </c>
      <c r="C7" s="19" t="str">
        <f t="shared" ref="C7" si="4">AA2</f>
        <v>-</v>
      </c>
      <c r="D7" s="20">
        <f t="shared" ref="D7" si="5">ABS(Z2)</f>
        <v>3.3975155612420787E-10</v>
      </c>
      <c r="E7" s="18" t="str">
        <f t="shared" ref="E7" si="6">IF(IMABS(IF(C7=C8,D7-D8,D7+D8)/100)&lt;0.32492,IF(IMABS(IF(C7=C8,D7-D8,D7+D8)/100)&lt;0.30573,IF(IMABS(IF(C7=C8,D7-D8,D7+D8)/100)&lt;0.28675,IF(IMABS(IF(C7=C8,D7-D8,D7+D8)/100)&lt;0.26795,IF(IMABS(IF(C7=C8,D7-D8,D7+D8)/100)&lt;0.24933,IF(IMABS(IF(C7=C8,D7-D8,D7+D8)/100)&lt;0.23087,IF(IMABS(IF(C7=C8,D7-D8,D7+D8)/100)&lt;0.21256,IF(IMABS(IF(C7=C8,D7-D8,D7+D8)/100)&lt;0.19438,IF(IMABS(IF(C7=C8,D7-D8,D7+D8)/100)&lt;0.17633,IF(IMABS(IF(C7=C8,D7-D8,D7+D8)/100)&lt;0.15838,IF(IMABS(IF(C7=C8,D7-D8,D7+D8)/100)&lt;0.14054,IF(IMABS(IF(C7=C8,D7-D8,D7+D8)/100)&lt;0.12278,IF(IMABS(IF(C7=C8,D7-D8,D7+D8)/100)&lt;0.1051,IF(IMABS(IF(C7=C8,D7-D8,D7+D8)/100)&lt;0.08749,IF(IMABS(IF(C7=C8,D7-D8,D7+D8)/100)&lt;0.06993,IF(IMABS(IF(C7=C8,D7-D8,D7+D8)/100)&lt;0.05241,IF(IMABS(IF(C7=C8,D7-D8,D7+D8)/100)&lt;0.03492,IF(IMABS(IF(C7=C8,D7-D8,D7+D8)/100)&lt;0.01746,"0°"&amp;ROUND(ATAN(IMABS(IF(C7=C8,D7-D8,D7+D8)/100))*10800/PI(),0)&amp;"'","1°"&amp;ROUND((ATAN(IMABS(IF(C7=C8,D7-D8,D7+D8)/100))*180/PI()-1)*60,0)&amp;"'"),"2°"&amp;ROUND((ATAN(IMABS(IF(C7=C8,D7-D8,D7+D8)/100))*180/PI()-2)*60,0)&amp;"'"),"3°"&amp;ROUND((ATAN(IMABS(IF(C7=C8,D7-D8,D7+D8)/100))*180/PI()-3)*60,0)&amp;"'"),"4°"&amp;ROUND((ATAN(IMABS(IF(C7=C8,D7-D8,D7+D8)/100))*180/PI()-4)*60,0)&amp;"'"),"5°"&amp;ROUND((ATAN(IMABS(IF(C7=C8,D7-D8,D7+D8)/100))*180/PI()-5)*60,0)&amp;"'"),"6°"&amp;ROUND((ATAN(IMABS(IF(C7=C8,D7-D8,D7+D8)/100))*180/PI()-6)*60,0)&amp;"'"),"7°"&amp;ROUND((ATAN(IMABS(IF(C7=C8,D7-D8,D7+D8)/100))*180/PI()-7)*60,0)&amp;"'"),"8°"&amp;ROUND((ATAN(IMABS(IF(C7=C8,D7-D8,D7+D8)/100))*180/PI()-8)*60,0)&amp;"'"),"9°"&amp;ROUND((ATAN(IMABS(IF(C7=C8,D7-D8,D7+D8)/100))*180/PI()-9)*60,0)&amp;"'"),"10°"&amp;ROUND((ATAN(IMABS(IF(C7=C8,D7-D8,D7+D8)/100))*180/PI()-10)*60,0)&amp;"'"),"11°"&amp;ROUND((ATAN(IMABS(IF(C7=C8,D7-D8,D7+D8)/100))*180/PI()-11)*60,0)&amp;"'"),"12°"&amp;ROUND((ATAN(IMABS(IF(C7=C8,D7-D8,D7+D8)/100))*180/PI()-12)*60,0)&amp;"'"),"13°"&amp;ROUND((ATAN(IMABS(IF(C7=C8,D7-D8,D7+D8)/100))*180/PI()-13)*60,0)&amp;"'"),"14°"&amp;ROUND((ATAN(IMABS(IF(C7=C8,D7-D8,D7+D8)/100))*180/PI()-14)*60,0)&amp;"'"),"15°"&amp;ROUND((ATAN(IMABS(IF(C7=C8,D7-D8,D7+D8)/100))*180/PI()-15)*60,0)&amp;"'"),"16°"&amp;ROUND((ATAN(IMABS(IF(C7=C8,D7-D8,D7+D8)/100))*180/PI()-16)*60,0)&amp;"'"),"17°"&amp;ROUND((ATAN(IMABS(IF(C7=C8,D7-D8,D7+D8)/100))*180/PI()-17)*60,0)&amp;"'"),"18°"&amp;ROUND((ATAN(IMABS(IF(C7=C8,D7-D8,D7+D8)/100))*180/PI()-18)*60,0)&amp;"'")</f>
        <v>1°3'</v>
      </c>
      <c r="F7" s="21">
        <f t="shared" ref="F7" si="7">ROUND(G$6*TAN((ROUND((ATAN(IMABS(IF(C7=C8,D7-D8,D7+D8)/100))*180/PI())*60,5)/60)*PI()/360),2)</f>
        <v>2.76</v>
      </c>
      <c r="G7" s="22">
        <f t="shared" ref="G7" si="8">ROUND(G$6*PI()*((ROUND((ATAN(IMABS(IF(C7=C8,D7-D8,D7+D8)/100))*180/PI())*60,5)/60))/180,2)</f>
        <v>5.51</v>
      </c>
      <c r="H7" s="3">
        <f t="shared" ref="H7" si="9">ROUND(G$6/COS((ROUND((ATAN(IMABS(IF(C7=C8,D7-D8,D7+D8)/100))*180/PI())*60,5)/60)*PI()/360)-G$6,2)</f>
        <v>0.01</v>
      </c>
      <c r="I7" s="23">
        <f>Y2</f>
        <v>27.411870757554425</v>
      </c>
      <c r="J7" s="30">
        <v>0.27500000000000002</v>
      </c>
      <c r="K7" s="18" t="str">
        <f>INT(J7)&amp;"+"&amp;ROUND(((J7-INT(J7))*100),1)</f>
        <v>0+27,5</v>
      </c>
      <c r="L7" s="25" t="str">
        <f>"Уг. "&amp;E7&amp;"         R "&amp;G$6&amp;"          T "&amp;F7&amp;"         K "&amp;G7&amp;"           Б "&amp;H7</f>
        <v>Уг. 1°3'         R 300          T 2,76         K 5,51           Б 0,01</v>
      </c>
      <c r="M7" s="26" t="str">
        <f xml:space="preserve"> "ПК"&amp;K7</f>
        <v>ПК0+27,5</v>
      </c>
      <c r="O7" s="4"/>
      <c r="P7" s="4"/>
      <c r="Q7" s="4"/>
      <c r="R7" s="4"/>
      <c r="S7" s="4"/>
      <c r="T7" s="4"/>
      <c r="U7" s="4"/>
      <c r="V7" s="4"/>
      <c r="W7" s="4"/>
      <c r="X7" s="4">
        <f>('Лист разработчика'!B6-'Лист разработчика'!B7)*100*0.001</f>
        <v>-0.5459086075425148</v>
      </c>
      <c r="Y7" s="4">
        <f>IF($U$2=500,('Лист разработчика'!A7-'Лист разработчика'!A6)*0.5,IF($U$2=2000,('Лист разработчика'!A7-'Лист разработчика'!A6)*2,0))</f>
        <v>69.816035527735949</v>
      </c>
      <c r="Z7" s="4">
        <f t="shared" si="0"/>
        <v>-0.7819243865911587</v>
      </c>
      <c r="AA7" s="4" t="str">
        <f t="shared" si="1"/>
        <v>-</v>
      </c>
      <c r="AB7" s="4" t="str">
        <f t="shared" si="2"/>
        <v>+</v>
      </c>
      <c r="AC7" s="3" t="s">
        <v>17</v>
      </c>
      <c r="AD7" s="3">
        <f t="shared" si="3"/>
        <v>22.225908607542515</v>
      </c>
    </row>
    <row r="8" spans="1:30" ht="15">
      <c r="B8" s="18">
        <v>2</v>
      </c>
      <c r="C8" s="19" t="str">
        <f t="shared" ref="C8" si="10">AA3</f>
        <v>-</v>
      </c>
      <c r="D8" s="27">
        <f t="shared" ref="D8" si="11">ABS(Z3)</f>
        <v>1.8384192016058454</v>
      </c>
      <c r="E8" s="18" t="str">
        <f t="shared" ref="E8" si="12">IF(IMABS(IF(C8=C9,D8-D9,D8+D9)/100)&lt;0.32492,IF(IMABS(IF(C8=C9,D8-D9,D8+D9)/100)&lt;0.30573,IF(IMABS(IF(C8=C9,D8-D9,D8+D9)/100)&lt;0.28675,IF(IMABS(IF(C8=C9,D8-D9,D8+D9)/100)&lt;0.26795,IF(IMABS(IF(C8=C9,D8-D9,D8+D9)/100)&lt;0.24933,IF(IMABS(IF(C8=C9,D8-D9,D8+D9)/100)&lt;0.23087,IF(IMABS(IF(C8=C9,D8-D9,D8+D9)/100)&lt;0.21256,IF(IMABS(IF(C8=C9,D8-D9,D8+D9)/100)&lt;0.19438,IF(IMABS(IF(C8=C9,D8-D9,D8+D9)/100)&lt;0.17633,IF(IMABS(IF(C8=C9,D8-D9,D8+D9)/100)&lt;0.15838,IF(IMABS(IF(C8=C9,D8-D9,D8+D9)/100)&lt;0.14054,IF(IMABS(IF(C8=C9,D8-D9,D8+D9)/100)&lt;0.12278,IF(IMABS(IF(C8=C9,D8-D9,D8+D9)/100)&lt;0.1051,IF(IMABS(IF(C8=C9,D8-D9,D8+D9)/100)&lt;0.08749,IF(IMABS(IF(C8=C9,D8-D9,D8+D9)/100)&lt;0.06993,IF(IMABS(IF(C8=C9,D8-D9,D8+D9)/100)&lt;0.05241,IF(IMABS(IF(C8=C9,D8-D9,D8+D9)/100)&lt;0.03492,IF(IMABS(IF(C8=C9,D8-D9,D8+D9)/100)&lt;0.01746,"0°"&amp;ROUND(ATAN(IMABS(IF(C8=C9,D8-D9,D8+D9)/100))*10800/PI(),0)&amp;"'","1°"&amp;ROUND((ATAN(IMABS(IF(C8=C9,D8-D9,D8+D9)/100))*180/PI()-1)*60,0)&amp;"'"),"2°"&amp;ROUND((ATAN(IMABS(IF(C8=C9,D8-D9,D8+D9)/100))*180/PI()-2)*60,0)&amp;"'"),"3°"&amp;ROUND((ATAN(IMABS(IF(C8=C9,D8-D9,D8+D9)/100))*180/PI()-3)*60,0)&amp;"'"),"4°"&amp;ROUND((ATAN(IMABS(IF(C8=C9,D8-D9,D8+D9)/100))*180/PI()-4)*60,0)&amp;"'"),"5°"&amp;ROUND((ATAN(IMABS(IF(C8=C9,D8-D9,D8+D9)/100))*180/PI()-5)*60,0)&amp;"'"),"6°"&amp;ROUND((ATAN(IMABS(IF(C8=C9,D8-D9,D8+D9)/100))*180/PI()-6)*60,0)&amp;"'"),"7°"&amp;ROUND((ATAN(IMABS(IF(C8=C9,D8-D9,D8+D9)/100))*180/PI()-7)*60,0)&amp;"'"),"8°"&amp;ROUND((ATAN(IMABS(IF(C8=C9,D8-D9,D8+D9)/100))*180/PI()-8)*60,0)&amp;"'"),"9°"&amp;ROUND((ATAN(IMABS(IF(C8=C9,D8-D9,D8+D9)/100))*180/PI()-9)*60,0)&amp;"'"),"10°"&amp;ROUND((ATAN(IMABS(IF(C8=C9,D8-D9,D8+D9)/100))*180/PI()-10)*60,0)&amp;"'"),"11°"&amp;ROUND((ATAN(IMABS(IF(C8=C9,D8-D9,D8+D9)/100))*180/PI()-11)*60,0)&amp;"'"),"12°"&amp;ROUND((ATAN(IMABS(IF(C8=C9,D8-D9,D8+D9)/100))*180/PI()-12)*60,0)&amp;"'"),"13°"&amp;ROUND((ATAN(IMABS(IF(C8=C9,D8-D9,D8+D9)/100))*180/PI()-13)*60,0)&amp;"'"),"14°"&amp;ROUND((ATAN(IMABS(IF(C8=C9,D8-D9,D8+D9)/100))*180/PI()-14)*60,0)&amp;"'"),"15°"&amp;ROUND((ATAN(IMABS(IF(C8=C9,D8-D9,D8+D9)/100))*180/PI()-15)*60,0)&amp;"'"),"16°"&amp;ROUND((ATAN(IMABS(IF(C8=C9,D8-D9,D8+D9)/100))*180/PI()-16)*60,0)&amp;"'"),"17°"&amp;ROUND((ATAN(IMABS(IF(C8=C9,D8-D9,D8+D9)/100))*180/PI()-17)*60,0)&amp;"'"),"18°"&amp;ROUND((ATAN(IMABS(IF(C8=C9,D8-D9,D8+D9)/100))*180/PI()-18)*60,0)&amp;"'")</f>
        <v>1°26'</v>
      </c>
      <c r="F8" s="21">
        <f t="shared" ref="F8" si="13">ROUND(G$6*TAN((ROUND((ATAN(IMABS(IF(C8=C9,D8-D9,D8+D9)/100))*180/PI())*60,5)/60)*PI()/360),2)</f>
        <v>3.73</v>
      </c>
      <c r="G8" s="22">
        <f t="shared" ref="G8" si="14">ROUND(G$6*PI()*((ROUND((ATAN(IMABS(IF(C8=C9,D8-D9,D8+D9)/100))*180/PI())*60,5)/60))/180,2)</f>
        <v>7.47</v>
      </c>
      <c r="H8" s="3">
        <f t="shared" ref="H8" si="15">ROUND(G$6/COS((ROUND((ATAN(IMABS(IF(C8=C9,D8-D9,D8+D9)/100))*180/PI())*60,5)/60)*PI()/360)-G$6,2)</f>
        <v>0.02</v>
      </c>
      <c r="I8" s="23">
        <f>Y3</f>
        <v>42.588129242445575</v>
      </c>
      <c r="J8" s="24">
        <f>IF(I8=0, "End", J7+(I8/100))</f>
        <v>0.70088129242445585</v>
      </c>
      <c r="K8" s="18" t="str">
        <f t="shared" ref="K8" si="16">INT(J8)&amp;"+"&amp;ROUND(((J8-INT(J8))*100),1)</f>
        <v>0+70,1</v>
      </c>
      <c r="L8" s="25" t="str">
        <f t="shared" ref="L8" si="17">"Уг. "&amp;E8&amp;"         R "&amp;G$6&amp;"          T "&amp;F8&amp;"         K "&amp;G8&amp;"           Б "&amp;H8</f>
        <v>Уг. 1°26'         R 300          T 3,73         K 7,47           Б 0,02</v>
      </c>
      <c r="M8" s="28" t="str">
        <f t="shared" ref="M8" si="18" xml:space="preserve"> "ПК"&amp;K8</f>
        <v>ПК0+70,1</v>
      </c>
      <c r="O8" s="4"/>
      <c r="P8" s="4"/>
      <c r="Q8" s="4"/>
      <c r="R8" s="4"/>
      <c r="S8" s="4"/>
      <c r="X8" s="4">
        <f>('Лист разработчика'!B7-'Лист разработчика'!B8)*100*0.001</f>
        <v>0.83139293706044559</v>
      </c>
      <c r="Y8" s="4">
        <f>IF($U$2=500,('Лист разработчика'!A8-'Лист разработчика'!A7)*0.5,IF($U$2=2000,('Лист разработчика'!A8-'Лист разработчика'!A7)*2,0))</f>
        <v>100.18396447226405</v>
      </c>
      <c r="Z8" s="4">
        <f t="shared" si="0"/>
        <v>0.82986627794173273</v>
      </c>
      <c r="AA8" s="4" t="str">
        <f t="shared" si="1"/>
        <v>+</v>
      </c>
      <c r="AB8" s="4" t="str">
        <f t="shared" si="2"/>
        <v>+</v>
      </c>
      <c r="AC8" s="3" t="s">
        <v>17</v>
      </c>
      <c r="AD8" s="3">
        <f t="shared" si="3"/>
        <v>20.848607062939553</v>
      </c>
    </row>
    <row r="9" spans="1:30" ht="15">
      <c r="A9"/>
      <c r="B9" s="18">
        <v>3</v>
      </c>
      <c r="C9" s="19" t="str">
        <f t="shared" ref="C9:C17" si="19">AA4</f>
        <v>+</v>
      </c>
      <c r="D9" s="27">
        <f t="shared" ref="D9:D17" si="20">ABS(Z4)</f>
        <v>0.65147754073949782</v>
      </c>
      <c r="E9" s="18" t="str">
        <f t="shared" ref="E9:E17" si="21">IF(IMABS(IF(C9=C10,D9-D10,D9+D10)/100)&lt;0.32492,IF(IMABS(IF(C9=C10,D9-D10,D9+D10)/100)&lt;0.30573,IF(IMABS(IF(C9=C10,D9-D10,D9+D10)/100)&lt;0.28675,IF(IMABS(IF(C9=C10,D9-D10,D9+D10)/100)&lt;0.26795,IF(IMABS(IF(C9=C10,D9-D10,D9+D10)/100)&lt;0.24933,IF(IMABS(IF(C9=C10,D9-D10,D9+D10)/100)&lt;0.23087,IF(IMABS(IF(C9=C10,D9-D10,D9+D10)/100)&lt;0.21256,IF(IMABS(IF(C9=C10,D9-D10,D9+D10)/100)&lt;0.19438,IF(IMABS(IF(C9=C10,D9-D10,D9+D10)/100)&lt;0.17633,IF(IMABS(IF(C9=C10,D9-D10,D9+D10)/100)&lt;0.15838,IF(IMABS(IF(C9=C10,D9-D10,D9+D10)/100)&lt;0.14054,IF(IMABS(IF(C9=C10,D9-D10,D9+D10)/100)&lt;0.12278,IF(IMABS(IF(C9=C10,D9-D10,D9+D10)/100)&lt;0.1051,IF(IMABS(IF(C9=C10,D9-D10,D9+D10)/100)&lt;0.08749,IF(IMABS(IF(C9=C10,D9-D10,D9+D10)/100)&lt;0.06993,IF(IMABS(IF(C9=C10,D9-D10,D9+D10)/100)&lt;0.05241,IF(IMABS(IF(C9=C10,D9-D10,D9+D10)/100)&lt;0.03492,IF(IMABS(IF(C9=C10,D9-D10,D9+D10)/100)&lt;0.01746,"0°"&amp;ROUND(ATAN(IMABS(IF(C9=C10,D9-D10,D9+D10)/100))*10800/PI(),0)&amp;"'","1°"&amp;ROUND((ATAN(IMABS(IF(C9=C10,D9-D10,D9+D10)/100))*180/PI()-1)*60,0)&amp;"'"),"2°"&amp;ROUND((ATAN(IMABS(IF(C9=C10,D9-D10,D9+D10)/100))*180/PI()-2)*60,0)&amp;"'"),"3°"&amp;ROUND((ATAN(IMABS(IF(C9=C10,D9-D10,D9+D10)/100))*180/PI()-3)*60,0)&amp;"'"),"4°"&amp;ROUND((ATAN(IMABS(IF(C9=C10,D9-D10,D9+D10)/100))*180/PI()-4)*60,0)&amp;"'"),"5°"&amp;ROUND((ATAN(IMABS(IF(C9=C10,D9-D10,D9+D10)/100))*180/PI()-5)*60,0)&amp;"'"),"6°"&amp;ROUND((ATAN(IMABS(IF(C9=C10,D9-D10,D9+D10)/100))*180/PI()-6)*60,0)&amp;"'"),"7°"&amp;ROUND((ATAN(IMABS(IF(C9=C10,D9-D10,D9+D10)/100))*180/PI()-7)*60,0)&amp;"'"),"8°"&amp;ROUND((ATAN(IMABS(IF(C9=C10,D9-D10,D9+D10)/100))*180/PI()-8)*60,0)&amp;"'"),"9°"&amp;ROUND((ATAN(IMABS(IF(C9=C10,D9-D10,D9+D10)/100))*180/PI()-9)*60,0)&amp;"'"),"10°"&amp;ROUND((ATAN(IMABS(IF(C9=C10,D9-D10,D9+D10)/100))*180/PI()-10)*60,0)&amp;"'"),"11°"&amp;ROUND((ATAN(IMABS(IF(C9=C10,D9-D10,D9+D10)/100))*180/PI()-11)*60,0)&amp;"'"),"12°"&amp;ROUND((ATAN(IMABS(IF(C9=C10,D9-D10,D9+D10)/100))*180/PI()-12)*60,0)&amp;"'"),"13°"&amp;ROUND((ATAN(IMABS(IF(C9=C10,D9-D10,D9+D10)/100))*180/PI()-13)*60,0)&amp;"'"),"14°"&amp;ROUND((ATAN(IMABS(IF(C9=C10,D9-D10,D9+D10)/100))*180/PI()-14)*60,0)&amp;"'"),"15°"&amp;ROUND((ATAN(IMABS(IF(C9=C10,D9-D10,D9+D10)/100))*180/PI()-15)*60,0)&amp;"'"),"16°"&amp;ROUND((ATAN(IMABS(IF(C9=C10,D9-D10,D9+D10)/100))*180/PI()-16)*60,0)&amp;"'"),"17°"&amp;ROUND((ATAN(IMABS(IF(C9=C10,D9-D10,D9+D10)/100))*180/PI()-17)*60,0)&amp;"'"),"18°"&amp;ROUND((ATAN(IMABS(IF(C9=C10,D9-D10,D9+D10)/100))*180/PI()-18)*60,0)&amp;"'")</f>
        <v>0°22'</v>
      </c>
      <c r="F9" s="21">
        <f t="shared" ref="F9:F17" si="22">ROUND(G$6*TAN((ROUND((ATAN(IMABS(IF(C9=C10,D9-D10,D9+D10)/100))*180/PI())*60,5)/60)*PI()/360),2)</f>
        <v>0.98</v>
      </c>
      <c r="G9" s="22">
        <f t="shared" ref="G9:G17" si="23">ROUND(G$6*PI()*((ROUND((ATAN(IMABS(IF(C9=C10,D9-D10,D9+D10)/100))*180/PI())*60,5)/60))/180,2)</f>
        <v>1.95</v>
      </c>
      <c r="H9" s="3">
        <f t="shared" ref="H9:H17" si="24">ROUND(G$6/COS((ROUND((ATAN(IMABS(IF(C9=C10,D9-D10,D9+D10)/100))*180/PI())*60,5)/60)*PI()/360)-G$6,2)</f>
        <v>0</v>
      </c>
      <c r="I9" s="23">
        <f t="shared" ref="I9:I17" si="25">Y4</f>
        <v>90.000000000029104</v>
      </c>
      <c r="J9" s="24">
        <f t="shared" ref="J9:J17" si="26">IF(I9=0, "End", J8+(I9/100))</f>
        <v>1.6008812924247469</v>
      </c>
      <c r="K9" s="18" t="str">
        <f t="shared" ref="K9:K17" si="27">INT(J9)&amp;"+"&amp;ROUND(((J9-INT(J9))*100),1)</f>
        <v>1+60,1</v>
      </c>
      <c r="L9" s="25" t="str">
        <f t="shared" ref="L9:L17" si="28">"Уг. "&amp;E9&amp;"         R "&amp;G$6&amp;"          T "&amp;F9&amp;"         K "&amp;G9&amp;"           Б "&amp;H9</f>
        <v>Уг. 0°22'         R 300          T 0,98         K 1,95           Б 0</v>
      </c>
      <c r="M9" s="28" t="str">
        <f t="shared" ref="M9:M17" si="29" xml:space="preserve"> "ПК"&amp;K9</f>
        <v>ПК1+60,1</v>
      </c>
      <c r="O9" s="4"/>
      <c r="P9" s="4"/>
      <c r="Q9" s="4"/>
      <c r="R9" s="4"/>
      <c r="S9" s="4"/>
      <c r="X9" s="4">
        <f>('Лист разработчика'!B8-'Лист разработчика'!B9)*100*0.001</f>
        <v>0.93978371750563383</v>
      </c>
      <c r="Y9" s="4">
        <f>IF($U$2=500,('Лист разработчика'!A9-'Лист разработчика'!A8)*0.5,IF($U$2=2000,('Лист разработчика'!A9-'Лист разработчика'!A8)*2,0))</f>
        <v>49.999999999970896</v>
      </c>
      <c r="Z9" s="4">
        <f t="shared" ref="Z9:Z17" si="30">(X9/Y9)*100</f>
        <v>1.8795674350123617</v>
      </c>
      <c r="AA9" s="4" t="str">
        <f t="shared" ref="AA9:AA17" si="31">IF(X9&gt;0, "+", IF(X9&lt;0, "-", "0"))</f>
        <v>+</v>
      </c>
      <c r="AB9" s="4" t="str">
        <f t="shared" ref="AB9:AB17" si="32">IF(AND((D14-D15)&gt;0,C14="-"),"+",IF(AND((D14-D15)&lt;0,C15="+"),"+","-"))</f>
        <v>-</v>
      </c>
      <c r="AC9" s="3" t="s">
        <v>17</v>
      </c>
      <c r="AD9" s="3">
        <f t="shared" ref="AD9:AD17" si="33">$U$4-X9</f>
        <v>20.740216282494366</v>
      </c>
    </row>
    <row r="10" spans="1:30" ht="15">
      <c r="A10"/>
      <c r="B10" s="18">
        <v>4</v>
      </c>
      <c r="C10" s="19" t="str">
        <f t="shared" si="19"/>
        <v>0</v>
      </c>
      <c r="D10" s="27">
        <f t="shared" si="20"/>
        <v>0</v>
      </c>
      <c r="E10" s="18" t="str">
        <f t="shared" si="21"/>
        <v>1°28'</v>
      </c>
      <c r="F10" s="21">
        <f t="shared" si="22"/>
        <v>3.85</v>
      </c>
      <c r="G10" s="22">
        <f t="shared" si="23"/>
        <v>7.7</v>
      </c>
      <c r="H10" s="3">
        <f t="shared" si="24"/>
        <v>0.02</v>
      </c>
      <c r="I10" s="23">
        <f t="shared" si="25"/>
        <v>239.9999999999709</v>
      </c>
      <c r="J10" s="24">
        <f t="shared" si="26"/>
        <v>4.0008812924244559</v>
      </c>
      <c r="K10" s="18" t="str">
        <f t="shared" si="27"/>
        <v>4+0,1</v>
      </c>
      <c r="L10" s="25" t="str">
        <f t="shared" si="28"/>
        <v>Уг. 1°28'         R 300          T 3,85         K 7,7           Б 0,02</v>
      </c>
      <c r="M10" s="28" t="str">
        <f t="shared" si="29"/>
        <v>ПК4+0,1</v>
      </c>
      <c r="O10" s="4"/>
      <c r="P10" s="4"/>
      <c r="Q10" s="4"/>
      <c r="R10" s="4"/>
      <c r="S10" s="4"/>
      <c r="X10" s="4">
        <f>('Лист разработчика'!B9-'Лист разработчика'!B10)*100*0.001</f>
        <v>-0.62346555879339582</v>
      </c>
      <c r="Y10" s="4">
        <f>IF($U$2=500,('Лист разработчика'!A10-'Лист разработчика'!A9)*0.5,IF($U$2=2000,('Лист разработчика'!A10-'Лист разработчика'!A9)*2,0))</f>
        <v>50.000000000029104</v>
      </c>
      <c r="Z10" s="4">
        <f t="shared" si="30"/>
        <v>-1.2469311175860658</v>
      </c>
      <c r="AA10" s="4" t="str">
        <f t="shared" si="31"/>
        <v>-</v>
      </c>
      <c r="AB10" s="4" t="str">
        <f t="shared" si="32"/>
        <v>+</v>
      </c>
      <c r="AC10" s="3" t="s">
        <v>17</v>
      </c>
      <c r="AD10" s="3">
        <f t="shared" si="33"/>
        <v>22.303465558793395</v>
      </c>
    </row>
    <row r="11" spans="1:30" s="29" customFormat="1" ht="15">
      <c r="A11"/>
      <c r="B11" s="18">
        <v>5</v>
      </c>
      <c r="C11" s="19" t="str">
        <f t="shared" si="19"/>
        <v>+</v>
      </c>
      <c r="D11" s="27">
        <f t="shared" si="20"/>
        <v>2.5677399426841965</v>
      </c>
      <c r="E11" s="18" t="str">
        <f t="shared" si="21"/>
        <v>1°55'</v>
      </c>
      <c r="F11" s="21">
        <f t="shared" si="22"/>
        <v>5.0199999999999996</v>
      </c>
      <c r="G11" s="22">
        <f t="shared" si="23"/>
        <v>10.050000000000001</v>
      </c>
      <c r="H11" s="3">
        <f t="shared" si="24"/>
        <v>0.04</v>
      </c>
      <c r="I11" s="23">
        <f t="shared" si="25"/>
        <v>130</v>
      </c>
      <c r="J11" s="24">
        <f t="shared" si="26"/>
        <v>5.3008812924244557</v>
      </c>
      <c r="K11" s="18" t="str">
        <f t="shared" si="27"/>
        <v>5+30,1</v>
      </c>
      <c r="L11" s="25" t="str">
        <f t="shared" si="28"/>
        <v>Уг. 1°55'         R 300          T 5,02         K 10,05           Б 0,04</v>
      </c>
      <c r="M11" s="28" t="str">
        <f t="shared" si="29"/>
        <v>ПК5+30,1</v>
      </c>
      <c r="N11" s="3"/>
      <c r="O11" s="4"/>
      <c r="P11" s="4"/>
      <c r="Q11" s="4"/>
      <c r="R11" s="4"/>
      <c r="S11" s="4"/>
      <c r="T11" s="3"/>
      <c r="U11" s="3"/>
      <c r="V11" s="3"/>
      <c r="W11" s="3"/>
      <c r="X11" s="4">
        <f>('Лист разработчика'!B10-'Лист разработчика'!B11)*100*0.001</f>
        <v>1.4432042643427849</v>
      </c>
      <c r="Y11" s="4">
        <f>IF($U$2=500,('Лист разработчика'!A11-'Лист разработчика'!A10)*0.5,IF($U$2=2000,('Лист разработчика'!A11-'Лист разработчика'!A10)*2,0))</f>
        <v>100</v>
      </c>
      <c r="Z11" s="4">
        <f t="shared" si="30"/>
        <v>1.4432042643427849</v>
      </c>
      <c r="AA11" s="4" t="str">
        <f t="shared" si="31"/>
        <v>+</v>
      </c>
      <c r="AB11" s="4" t="str">
        <f t="shared" si="32"/>
        <v>+</v>
      </c>
      <c r="AC11" s="3" t="s">
        <v>17</v>
      </c>
      <c r="AD11" s="3">
        <f t="shared" si="33"/>
        <v>20.236795735657214</v>
      </c>
    </row>
    <row r="12" spans="1:30" ht="15">
      <c r="A12"/>
      <c r="B12" s="18">
        <v>6</v>
      </c>
      <c r="C12" s="19" t="str">
        <f t="shared" si="19"/>
        <v>-</v>
      </c>
      <c r="D12" s="27">
        <f t="shared" si="20"/>
        <v>0.7819243865911587</v>
      </c>
      <c r="E12" s="18" t="str">
        <f t="shared" si="21"/>
        <v>0°55'</v>
      </c>
      <c r="F12" s="21">
        <f t="shared" si="22"/>
        <v>2.42</v>
      </c>
      <c r="G12" s="22">
        <f t="shared" si="23"/>
        <v>4.83</v>
      </c>
      <c r="H12" s="3">
        <f t="shared" si="24"/>
        <v>0.01</v>
      </c>
      <c r="I12" s="23">
        <f t="shared" si="25"/>
        <v>69.816035527735949</v>
      </c>
      <c r="J12" s="24">
        <f t="shared" si="26"/>
        <v>5.9990416477018149</v>
      </c>
      <c r="K12" s="18" t="str">
        <f t="shared" si="27"/>
        <v>5+99,9</v>
      </c>
      <c r="L12" s="25" t="str">
        <f t="shared" si="28"/>
        <v>Уг. 0°55'         R 300          T 2,42         K 4,83           Б 0,01</v>
      </c>
      <c r="M12" s="28" t="str">
        <f t="shared" si="29"/>
        <v>ПК5+99,9</v>
      </c>
      <c r="O12" s="4"/>
      <c r="P12" s="4"/>
      <c r="Q12" s="4"/>
      <c r="R12" s="4"/>
      <c r="S12" s="4"/>
      <c r="X12" s="4">
        <f>('Лист разработчика'!B11-'Лист разработчика'!B12)*100*0.001</f>
        <v>1.4822728136554362</v>
      </c>
      <c r="Y12" s="4">
        <f>IF($U$2=500,('Лист разработчика'!A12-'Лист разработчика'!A11)*0.5,IF($U$2=2000,('Лист разработчика'!A12-'Лист разработчика'!A11)*2,0))</f>
        <v>70</v>
      </c>
      <c r="Z12" s="4">
        <f t="shared" si="30"/>
        <v>2.1175325909363374</v>
      </c>
      <c r="AA12" s="4" t="str">
        <f t="shared" si="31"/>
        <v>+</v>
      </c>
      <c r="AB12" s="4" t="str">
        <f t="shared" si="32"/>
        <v>-</v>
      </c>
      <c r="AC12" s="3" t="s">
        <v>17</v>
      </c>
      <c r="AD12" s="3">
        <f t="shared" si="33"/>
        <v>20.197727186344565</v>
      </c>
    </row>
    <row r="13" spans="1:30" ht="15">
      <c r="A13"/>
      <c r="B13" s="18">
        <v>7</v>
      </c>
      <c r="C13" s="19" t="str">
        <f t="shared" si="19"/>
        <v>+</v>
      </c>
      <c r="D13" s="27">
        <f t="shared" si="20"/>
        <v>0.82986627794173273</v>
      </c>
      <c r="E13" s="18" t="str">
        <f t="shared" si="21"/>
        <v>0°36'</v>
      </c>
      <c r="F13" s="21">
        <f t="shared" si="22"/>
        <v>1.57</v>
      </c>
      <c r="G13" s="22">
        <f t="shared" si="23"/>
        <v>3.15</v>
      </c>
      <c r="H13" s="3">
        <f t="shared" si="24"/>
        <v>0</v>
      </c>
      <c r="I13" s="23">
        <f t="shared" si="25"/>
        <v>100.18396447226405</v>
      </c>
      <c r="J13" s="24">
        <f t="shared" si="26"/>
        <v>7.0008812924244559</v>
      </c>
      <c r="K13" s="18" t="str">
        <f t="shared" si="27"/>
        <v>7+0,1</v>
      </c>
      <c r="L13" s="25" t="str">
        <f t="shared" si="28"/>
        <v>Уг. 0°36'         R 300          T 1,57         K 3,15           Б 0</v>
      </c>
      <c r="M13" s="28" t="str">
        <f t="shared" si="29"/>
        <v>ПК7+0,1</v>
      </c>
      <c r="O13" s="4"/>
      <c r="P13" s="4"/>
      <c r="Q13" s="4"/>
      <c r="R13" s="4"/>
      <c r="S13" s="4"/>
      <c r="X13" s="4">
        <f>('Лист разработчика'!B12-'Лист разработчика'!B13)*100*0.001</f>
        <v>0</v>
      </c>
      <c r="Y13" s="4">
        <f>IF($U$2=500,('Лист разработчика'!A13-'Лист разработчика'!A12)*0.5,IF($U$2=2000,('Лист разработчика'!A13-'Лист разработчика'!A12)*2,0))</f>
        <v>33.143332214123802</v>
      </c>
      <c r="Z13" s="4">
        <f t="shared" si="30"/>
        <v>0</v>
      </c>
      <c r="AA13" s="4" t="str">
        <f t="shared" si="31"/>
        <v>0</v>
      </c>
      <c r="AB13" s="4" t="str">
        <f t="shared" si="32"/>
        <v>-</v>
      </c>
      <c r="AC13" s="3" t="s">
        <v>17</v>
      </c>
      <c r="AD13" s="3">
        <f t="shared" si="33"/>
        <v>21.68</v>
      </c>
    </row>
    <row r="14" spans="1:30" ht="15">
      <c r="A14"/>
      <c r="B14" s="18">
        <v>8</v>
      </c>
      <c r="C14" s="19" t="str">
        <f t="shared" si="19"/>
        <v>+</v>
      </c>
      <c r="D14" s="27">
        <f t="shared" si="20"/>
        <v>1.8795674350123617</v>
      </c>
      <c r="E14" s="18" t="str">
        <f t="shared" si="21"/>
        <v>1°47'</v>
      </c>
      <c r="F14" s="21">
        <f t="shared" si="22"/>
        <v>4.6900000000000004</v>
      </c>
      <c r="G14" s="22">
        <f t="shared" si="23"/>
        <v>9.3800000000000008</v>
      </c>
      <c r="H14" s="3">
        <f t="shared" si="24"/>
        <v>0.04</v>
      </c>
      <c r="I14" s="23">
        <f t="shared" si="25"/>
        <v>49.999999999970896</v>
      </c>
      <c r="J14" s="24">
        <f t="shared" si="26"/>
        <v>7.5008812924241646</v>
      </c>
      <c r="K14" s="18" t="str">
        <f t="shared" si="27"/>
        <v>7+50,1</v>
      </c>
      <c r="L14" s="25" t="str">
        <f t="shared" si="28"/>
        <v>Уг. 1°47'         R 300          T 4,69         K 9,38           Б 0,04</v>
      </c>
      <c r="M14" s="28" t="str">
        <f t="shared" si="29"/>
        <v>ПК7+50,1</v>
      </c>
      <c r="O14" s="4"/>
      <c r="P14" s="4"/>
      <c r="Q14" s="4"/>
      <c r="R14" s="4"/>
      <c r="S14" s="4"/>
      <c r="X14" s="4">
        <f>('Лист разработчика'!B13-'Лист разработчика'!B14)*100*0.001</f>
        <v>589650.22348416795</v>
      </c>
      <c r="Y14" s="4">
        <f>IF($U$2=500,('Лист разработчика'!A14-'Лист разработчика'!A13)*0.5,IF($U$2=2000,('Лист разработчика'!A14-'Лист разработчика'!A13)*2,0))</f>
        <v>-233860.13775878272</v>
      </c>
      <c r="Z14" s="4">
        <f t="shared" si="30"/>
        <v>-252.13797833830421</v>
      </c>
      <c r="AA14" s="4" t="str">
        <f t="shared" si="31"/>
        <v>+</v>
      </c>
      <c r="AB14" s="4" t="str">
        <f t="shared" si="32"/>
        <v>-</v>
      </c>
      <c r="AC14" s="3" t="s">
        <v>17</v>
      </c>
      <c r="AD14" s="3">
        <f t="shared" si="33"/>
        <v>-589628.54348416789</v>
      </c>
    </row>
    <row r="15" spans="1:30" ht="15">
      <c r="A15"/>
      <c r="B15" s="18">
        <v>9</v>
      </c>
      <c r="C15" s="19" t="str">
        <f t="shared" si="19"/>
        <v>-</v>
      </c>
      <c r="D15" s="27">
        <f t="shared" si="20"/>
        <v>1.2469311175860658</v>
      </c>
      <c r="E15" s="18" t="str">
        <f t="shared" si="21"/>
        <v>1°32'</v>
      </c>
      <c r="F15" s="21">
        <f t="shared" si="22"/>
        <v>4.03</v>
      </c>
      <c r="G15" s="22">
        <f t="shared" si="23"/>
        <v>8.07</v>
      </c>
      <c r="H15" s="3">
        <f t="shared" si="24"/>
        <v>0.03</v>
      </c>
      <c r="I15" s="23">
        <f t="shared" si="25"/>
        <v>50.000000000029104</v>
      </c>
      <c r="J15" s="24">
        <f t="shared" si="26"/>
        <v>8.0008812924244559</v>
      </c>
      <c r="K15" s="18" t="str">
        <f t="shared" si="27"/>
        <v>8+0,1</v>
      </c>
      <c r="L15" s="25" t="str">
        <f t="shared" si="28"/>
        <v>Уг. 1°32'         R 300          T 4,03         K 8,07           Б 0,03</v>
      </c>
      <c r="M15" s="28" t="str">
        <f t="shared" si="29"/>
        <v>ПК8+0,1</v>
      </c>
      <c r="O15" s="4"/>
      <c r="P15" s="4"/>
      <c r="Q15" s="4"/>
      <c r="R15" s="4"/>
      <c r="S15" s="4"/>
      <c r="X15" s="4">
        <f>('Лист разработчика'!B14-'Лист разработчика'!B15)*100*0.001</f>
        <v>0</v>
      </c>
      <c r="Y15" s="4">
        <f>IF($U$2=500,('Лист разработчика'!A15-'Лист разработчика'!A14)*0.5,IF($U$2=2000,('Лист разработчика'!A15-'Лист разработчика'!A14)*2,0))</f>
        <v>0</v>
      </c>
      <c r="Z15" s="4" t="e">
        <f t="shared" si="30"/>
        <v>#DIV/0!</v>
      </c>
      <c r="AA15" s="4" t="str">
        <f t="shared" si="31"/>
        <v>0</v>
      </c>
      <c r="AB15" s="4" t="str">
        <f t="shared" si="32"/>
        <v>-</v>
      </c>
      <c r="AC15" s="3" t="s">
        <v>17</v>
      </c>
      <c r="AD15" s="3">
        <f t="shared" si="33"/>
        <v>21.68</v>
      </c>
    </row>
    <row r="16" spans="1:30" ht="15">
      <c r="A16"/>
      <c r="B16" s="18">
        <v>10</v>
      </c>
      <c r="C16" s="19" t="str">
        <f t="shared" si="19"/>
        <v>+</v>
      </c>
      <c r="D16" s="27">
        <f t="shared" si="20"/>
        <v>1.4432042643427849</v>
      </c>
      <c r="E16" s="18" t="str">
        <f t="shared" si="21"/>
        <v>0°23'</v>
      </c>
      <c r="F16" s="21">
        <f t="shared" si="22"/>
        <v>1.01</v>
      </c>
      <c r="G16" s="22">
        <f t="shared" si="23"/>
        <v>2.02</v>
      </c>
      <c r="H16" s="3">
        <f t="shared" si="24"/>
        <v>0</v>
      </c>
      <c r="I16" s="23">
        <f t="shared" si="25"/>
        <v>100</v>
      </c>
      <c r="J16" s="24">
        <f t="shared" si="26"/>
        <v>9.0008812924244559</v>
      </c>
      <c r="K16" s="18" t="str">
        <f t="shared" si="27"/>
        <v>9+0,1</v>
      </c>
      <c r="L16" s="25" t="str">
        <f t="shared" si="28"/>
        <v>Уг. 0°23'         R 300          T 1,01         K 2,02           Б 0</v>
      </c>
      <c r="M16" s="28" t="str">
        <f t="shared" si="29"/>
        <v>ПК9+0,1</v>
      </c>
      <c r="O16" s="4"/>
      <c r="P16" s="4"/>
      <c r="Q16" s="4"/>
      <c r="R16" s="4"/>
      <c r="S16" s="4"/>
      <c r="X16" s="4">
        <f>('Лист разработчика'!B15-'Лист разработчика'!B16)*100*0.001</f>
        <v>0</v>
      </c>
      <c r="Y16" s="4">
        <f>IF($U$2=500,('Лист разработчика'!A16-'Лист разработчика'!A15)*0.5,IF($U$2=2000,('Лист разработчика'!A16-'Лист разработчика'!A15)*2,0))</f>
        <v>0</v>
      </c>
      <c r="Z16" s="4" t="e">
        <f t="shared" si="30"/>
        <v>#DIV/0!</v>
      </c>
      <c r="AA16" s="4" t="str">
        <f t="shared" si="31"/>
        <v>0</v>
      </c>
      <c r="AB16" s="4" t="str">
        <f t="shared" si="32"/>
        <v>-</v>
      </c>
      <c r="AC16" s="3" t="s">
        <v>17</v>
      </c>
      <c r="AD16" s="3">
        <f t="shared" si="33"/>
        <v>21.68</v>
      </c>
    </row>
    <row r="17" spans="1:30" ht="15">
      <c r="A17"/>
      <c r="B17" s="18">
        <v>11</v>
      </c>
      <c r="C17" s="19" t="str">
        <f t="shared" si="19"/>
        <v>+</v>
      </c>
      <c r="D17" s="27">
        <f t="shared" si="20"/>
        <v>2.1175325909363374</v>
      </c>
      <c r="E17" s="18" t="str">
        <f t="shared" si="21"/>
        <v>1°13'</v>
      </c>
      <c r="F17" s="21">
        <f t="shared" si="22"/>
        <v>3.18</v>
      </c>
      <c r="G17" s="22">
        <f t="shared" si="23"/>
        <v>6.35</v>
      </c>
      <c r="H17" s="3">
        <f t="shared" si="24"/>
        <v>0.02</v>
      </c>
      <c r="I17" s="23">
        <f t="shared" si="25"/>
        <v>70</v>
      </c>
      <c r="J17" s="24">
        <f t="shared" si="26"/>
        <v>9.7008812924244552</v>
      </c>
      <c r="K17" s="18" t="str">
        <f t="shared" si="27"/>
        <v>9+70,1</v>
      </c>
      <c r="L17" s="25" t="str">
        <f t="shared" si="28"/>
        <v>Уг. 1°13'         R 300          T 3,18         K 6,35           Б 0,02</v>
      </c>
      <c r="M17" s="28" t="str">
        <f t="shared" si="29"/>
        <v>ПК9+70,1</v>
      </c>
      <c r="O17" s="4"/>
      <c r="P17" s="4"/>
      <c r="Q17" s="4"/>
      <c r="R17" s="4"/>
      <c r="S17" s="4"/>
      <c r="X17" s="4">
        <f>('Лист разработчика'!B16-'Лист разработчика'!B17)*100*0.001</f>
        <v>0</v>
      </c>
      <c r="Y17" s="4">
        <f>IF($U$2=500,('Лист разработчика'!A17-'Лист разработчика'!A16)*0.5,IF($U$2=2000,('Лист разработчика'!A17-'Лист разработчика'!A16)*2,0))</f>
        <v>0</v>
      </c>
      <c r="Z17" s="4" t="e">
        <f t="shared" si="30"/>
        <v>#DIV/0!</v>
      </c>
      <c r="AA17" s="4" t="str">
        <f t="shared" si="31"/>
        <v>0</v>
      </c>
      <c r="AB17" s="4" t="str">
        <f t="shared" si="32"/>
        <v>-</v>
      </c>
      <c r="AC17" s="3" t="s">
        <v>17</v>
      </c>
      <c r="AD17" s="3">
        <f t="shared" si="33"/>
        <v>21.68</v>
      </c>
    </row>
    <row r="18" spans="1:30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1:30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1:30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1:30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1:30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1:30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1:30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1:30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1:30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1:30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1:30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1:30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1:30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1:30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1:30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1:30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1:30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1:30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1:30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1:30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1:30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1:30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1:30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1:30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1:30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1:30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1:30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1:30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1:30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1:30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1:30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1:30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1:30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1:30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1:30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1:30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1:30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1:30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1:30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1:30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1:30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1:30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1:30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1:30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1:30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1:30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1:30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1:30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1:30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1:30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1:30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1:30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1:30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1:30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1:30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1:30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1:30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1:30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1:30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1:30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1:30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1:30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1:30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1:30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1:30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1:30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1:30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1:30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1:30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1:30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1:30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1:30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1:30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1:30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1:30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1:30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1:30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1:30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1:30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1:30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1:30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1:30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1:30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1:30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1:30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1:30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1:30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1:30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1:30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1:30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1:30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1:30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1:30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1:30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1:30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1:30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1:30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1:30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1:30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1:30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1:30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1:30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1:30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1:30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1:30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1:30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1:30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1:30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1:30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1:30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1:30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1:30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1:30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1:30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1:30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1:30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1:30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1:30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1:30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1:30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1:30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1:30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1:30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1:30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1:30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1:30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1:30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1:30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1:30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1:30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1:30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1:30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1:30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1:30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1:30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1:30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1:30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1:30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1:30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1:30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1:30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1:30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1:30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1:30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1:30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1:30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1:30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1:30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1:30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1:30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1:30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1:30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1:30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1:30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1:30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1:30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1:30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1:30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1:30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1:30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1:30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1:30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1:30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1:30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1:30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1:30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1:30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1:30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1:30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1:30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1:30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1:30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1:30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1:30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1:30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1:30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1:30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1:30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1:30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1:30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1:30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1:30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1:30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1:30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1:30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1:30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1:30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1:30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1:30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1:30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1:30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1:30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1:30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1:30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1:30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1:30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1:30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1:30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1:30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1:30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1:30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1:30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1:30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1:30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1:30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1:30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1:30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1:30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1:30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1:30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1:30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1:30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1:30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1:30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1:30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1:30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1:30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1:30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1:30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1:30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1:30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1:30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1:30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1:30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1:30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1:30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1:30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1:30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1:30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1:30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1:30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1:30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1:30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1:30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1:30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1:30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1:30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1:30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1:30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1:30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1:30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1:30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1:30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1:30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1:30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1:30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1:30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1:30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1:30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1:30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1:30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1:30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1:30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1:30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1:30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1:30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1:30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1:30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1:30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1:30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1:30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1:30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1:30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1:30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1:30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1:30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1:30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1:30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1:30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1:30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1:30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1:30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1:30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1:30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1:30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1:30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1:30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1:30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1:30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1:30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1:30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1:30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1:30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1:30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1:30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1:30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1:30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1:30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1:30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1:30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1:30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1:30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1:30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1:30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1:30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1:30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1:30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1:30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1:30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1:30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1:30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1:30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1:30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1:30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1:30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1:30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1:30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1:30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1:30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1:30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1:30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1:30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1:30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1:30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1:30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1:30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1:30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1:30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1:30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1:30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1:30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1:30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1:30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1:30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1:30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1:30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1:30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1:30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1:30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1:30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1:30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1:30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1:30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1:30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1:30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1:30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1:30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1:30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1:30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1:30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1:30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1:30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1:30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1:30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1:30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1:30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1:30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1:30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1:30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1:30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1:30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1:30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1:30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1:30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1:30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1:30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1:30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1:30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1:30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1:30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1:30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1:30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1:30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1:30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1:30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1:30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1:30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1:30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1:30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1:30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1:30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1:30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1:30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1:30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1:30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1:30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1:30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1:30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1:30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1:30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1:30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1:30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1:30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1:30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1:30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1:30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1:30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1:30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1:30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1:30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1:30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1:30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1:30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1:30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1:30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1:30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1:30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1:30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1:30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1:30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1:30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1:30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1:30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1:30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1:30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1:30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1:30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1:30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1:30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1:30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1:30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1:30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1:30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1:30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1:30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1:30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</sheetData>
  <mergeCells count="3">
    <mergeCell ref="E5:F5"/>
    <mergeCell ref="B5:D5"/>
    <mergeCell ref="I5:J5"/>
  </mergeCells>
  <conditionalFormatting sqref="E7:E17">
    <cfRule type="containsText" dxfId="0" priority="1" operator="containsText" text="0°">
      <formula>NOT(ISERROR(SEARCH("0°",E7)))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Кнопка 8">
              <controlPr defaultSize="0" print="0" autoFill="0" autoPict="0" macro="[0]!Углыитангенсы_Кнопка8_Щелчок">
                <anchor moveWithCells="1" sizeWithCells="1">
                  <from>
                    <xdr:col>14</xdr:col>
                    <xdr:colOff>106680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3"/>
  <sheetViews>
    <sheetView workbookViewId="0">
      <selection sqref="A1:XFD1048576"/>
    </sheetView>
  </sheetViews>
  <sheetFormatPr defaultColWidth="24.44140625" defaultRowHeight="14.4"/>
  <sheetData>
    <row r="1" spans="1:2">
      <c r="A1">
        <v>465713.98885313718</v>
      </c>
      <c r="B1">
        <v>5896568.9220710061</v>
      </c>
    </row>
    <row r="2" spans="1:2">
      <c r="A2">
        <v>465768.81259465229</v>
      </c>
      <c r="B2">
        <v>5896568.9220710071</v>
      </c>
    </row>
    <row r="3" spans="1:2">
      <c r="A3">
        <v>465853.98885313718</v>
      </c>
      <c r="B3">
        <v>5896576.7515544631</v>
      </c>
    </row>
    <row r="4" spans="1:2">
      <c r="A4">
        <v>466033.98885313724</v>
      </c>
      <c r="B4">
        <v>5896570.8882565964</v>
      </c>
    </row>
    <row r="5" spans="1:2">
      <c r="A5">
        <v>466513.98885313718</v>
      </c>
      <c r="B5">
        <v>5896570.8882565964</v>
      </c>
    </row>
    <row r="6" spans="1:2">
      <c r="A6">
        <v>466773.98885313718</v>
      </c>
      <c r="B6">
        <v>5896537.5076373415</v>
      </c>
    </row>
    <row r="7" spans="1:2">
      <c r="A7">
        <v>466913.62092419266</v>
      </c>
      <c r="B7">
        <v>5896542.9667234169</v>
      </c>
    </row>
    <row r="8" spans="1:2">
      <c r="A8">
        <v>467113.98885313718</v>
      </c>
      <c r="B8">
        <v>5896534.6527940463</v>
      </c>
    </row>
    <row r="9" spans="1:2">
      <c r="A9">
        <v>467213.98885313713</v>
      </c>
      <c r="B9">
        <v>5896525.2549568713</v>
      </c>
    </row>
    <row r="10" spans="1:2">
      <c r="A10">
        <v>467313.98885313718</v>
      </c>
      <c r="B10">
        <v>5896531.4896124592</v>
      </c>
    </row>
    <row r="11" spans="1:2">
      <c r="A11">
        <v>467513.98885313718</v>
      </c>
      <c r="B11">
        <v>5896517.0575698158</v>
      </c>
    </row>
    <row r="12" spans="1:2">
      <c r="A12">
        <v>467653.98885313718</v>
      </c>
      <c r="B12">
        <v>5896502.2348416792</v>
      </c>
    </row>
    <row r="13" spans="1:2">
      <c r="A13">
        <v>467720.27551756543</v>
      </c>
      <c r="B13">
        <v>5896502.2348416792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H19"/>
  <sheetViews>
    <sheetView topLeftCell="A25" workbookViewId="0">
      <selection activeCell="S14" sqref="S14"/>
    </sheetView>
  </sheetViews>
  <sheetFormatPr defaultRowHeight="14.4"/>
  <cols>
    <col min="5" max="5" width="23.88671875" bestFit="1" customWidth="1"/>
    <col min="8" max="8" width="15.88671875" bestFit="1" customWidth="1"/>
    <col min="12" max="12" width="13.6640625" customWidth="1"/>
    <col min="13" max="13" width="19" customWidth="1"/>
  </cols>
  <sheetData>
    <row r="2" spans="2:8">
      <c r="B2" s="36" t="s">
        <v>1</v>
      </c>
      <c r="C2" s="36"/>
      <c r="E2" s="39" t="s">
        <v>30</v>
      </c>
      <c r="F2" s="40"/>
      <c r="G2" s="41"/>
      <c r="H2" s="1">
        <v>100</v>
      </c>
    </row>
    <row r="3" spans="2:8">
      <c r="B3" s="2" t="s">
        <v>16</v>
      </c>
      <c r="C3" s="1" t="s">
        <v>17</v>
      </c>
      <c r="E3" s="42"/>
      <c r="F3" s="43"/>
      <c r="G3" s="44"/>
      <c r="H3" s="1">
        <v>2000</v>
      </c>
    </row>
    <row r="4" spans="2:8">
      <c r="B4" s="2" t="s">
        <v>18</v>
      </c>
      <c r="C4" s="1" t="s">
        <v>19</v>
      </c>
      <c r="E4" s="1"/>
      <c r="F4" s="1"/>
      <c r="G4" s="1"/>
      <c r="H4" s="1" t="s">
        <v>0</v>
      </c>
    </row>
    <row r="5" spans="2:8">
      <c r="B5" s="37" t="s">
        <v>20</v>
      </c>
      <c r="C5" s="38"/>
      <c r="E5" s="1"/>
      <c r="F5" s="1"/>
      <c r="G5" s="1"/>
      <c r="H5" s="1" t="s">
        <v>8</v>
      </c>
    </row>
    <row r="6" spans="2:8">
      <c r="E6" s="1"/>
      <c r="F6" s="1"/>
      <c r="G6" s="1"/>
      <c r="H6" s="1" t="s">
        <v>23</v>
      </c>
    </row>
    <row r="7" spans="2:8">
      <c r="E7" s="1"/>
      <c r="F7" s="1"/>
      <c r="G7" s="1"/>
      <c r="H7" s="1"/>
    </row>
    <row r="8" spans="2:8">
      <c r="E8" s="1"/>
      <c r="F8" s="1"/>
      <c r="G8" s="1"/>
      <c r="H8" s="1"/>
    </row>
    <row r="9" spans="2:8" ht="15" customHeight="1">
      <c r="E9" s="1" t="s">
        <v>9</v>
      </c>
      <c r="F9" s="1"/>
      <c r="G9" s="1"/>
      <c r="H9" s="1"/>
    </row>
    <row r="10" spans="2:8">
      <c r="E10" s="1" t="s">
        <v>10</v>
      </c>
      <c r="F10" s="1"/>
      <c r="G10" s="1"/>
      <c r="H10" s="1"/>
    </row>
    <row r="14" spans="2:8">
      <c r="H14" s="1" t="s">
        <v>24</v>
      </c>
    </row>
    <row r="15" spans="2:8">
      <c r="E15" s="34" t="s">
        <v>25</v>
      </c>
      <c r="F15" s="34"/>
      <c r="G15" s="34"/>
      <c r="H15" s="1">
        <v>100</v>
      </c>
    </row>
    <row r="16" spans="2:8">
      <c r="E16" s="34"/>
      <c r="F16" s="34"/>
      <c r="G16" s="34"/>
      <c r="H16" s="1">
        <v>2000</v>
      </c>
    </row>
    <row r="17" spans="2:8">
      <c r="E17" s="1" t="s">
        <v>27</v>
      </c>
      <c r="F17" s="1"/>
      <c r="G17" s="1"/>
      <c r="H17" s="1" t="s">
        <v>26</v>
      </c>
    </row>
    <row r="18" spans="2:8">
      <c r="E18" s="45" t="s">
        <v>31</v>
      </c>
      <c r="F18" s="45"/>
      <c r="G18" s="1"/>
      <c r="H18" s="1" t="s">
        <v>32</v>
      </c>
    </row>
    <row r="19" spans="2:8">
      <c r="B19" s="35" t="s">
        <v>22</v>
      </c>
      <c r="C19" s="35"/>
    </row>
  </sheetData>
  <mergeCells count="6">
    <mergeCell ref="E15:G16"/>
    <mergeCell ref="B19:C19"/>
    <mergeCell ref="B2:C2"/>
    <mergeCell ref="B5:C5"/>
    <mergeCell ref="E2:G3"/>
    <mergeCell ref="E18:F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1. Углы и тангенсы</vt:lpstr>
      <vt:lpstr>Лист разработчика</vt:lpstr>
      <vt:lpstr>Справка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projekt-user</dc:creator>
  <cp:lastModifiedBy>Alina</cp:lastModifiedBy>
  <dcterms:created xsi:type="dcterms:W3CDTF">2016-09-13T04:07:22Z</dcterms:created>
  <dcterms:modified xsi:type="dcterms:W3CDTF">2021-11-03T18:55:05Z</dcterms:modified>
</cp:coreProperties>
</file>